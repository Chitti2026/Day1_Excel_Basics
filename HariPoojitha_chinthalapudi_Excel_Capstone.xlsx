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jit\Downloads\"/>
    </mc:Choice>
  </mc:AlternateContent>
  <xr:revisionPtr revIDLastSave="0" documentId="8_{4030035B-E11A-4041-8F9D-E0A522683D12}" xr6:coauthVersionLast="47" xr6:coauthVersionMax="47" xr10:uidLastSave="{00000000-0000-0000-0000-000000000000}"/>
  <workbookProtection lockStructure="1"/>
  <bookViews>
    <workbookView xWindow="-108" yWindow="-108" windowWidth="23256" windowHeight="12456" firstSheet="6" activeTab="10" xr2:uid="{F7CC1742-40E8-4F5C-8110-E11DD4E3026B}"/>
  </bookViews>
  <sheets>
    <sheet name="Table1" sheetId="5" r:id="rId1"/>
    <sheet name="Raw_Orders (2)" sheetId="9" r:id="rId2"/>
    <sheet name="Raw_Orders" sheetId="1" r:id="rId3"/>
    <sheet name="Table2" sheetId="6" r:id="rId4"/>
    <sheet name="duplicate" sheetId="7" r:id="rId5"/>
    <sheet name="Master_Customers (2)" sheetId="10" r:id="rId6"/>
    <sheet name="Master_Customers" sheetId="2" r:id="rId7"/>
    <sheet name="Table3" sheetId="8" r:id="rId8"/>
    <sheet name="Pivot_Analysis" sheetId="13" r:id="rId9"/>
    <sheet name="Sheet3" sheetId="15" r:id="rId10"/>
    <sheet name="Executive_Dashboard" sheetId="14" r:id="rId11"/>
    <sheet name="Clean_Data_Warehouse" sheetId="12" r:id="rId12"/>
    <sheet name="Product_Catalog (2)" sheetId="11" r:id="rId13"/>
    <sheet name="Product_Catalog" sheetId="3" r:id="rId14"/>
    <sheet name="Sheet4" sheetId="4" r:id="rId15"/>
  </sheets>
  <definedNames>
    <definedName name="ExternalData_1" localSheetId="4" hidden="1">duplicate!$A$1:$C$7</definedName>
    <definedName name="ExternalData_1" localSheetId="5" hidden="1">'Master_Customers (2)'!$A$1:$C$6</definedName>
    <definedName name="ExternalData_1" localSheetId="12" hidden="1">'Product_Catalog (2)'!$A$1:$B$4</definedName>
    <definedName name="ExternalData_1" localSheetId="1" hidden="1">'Raw_Orders (2)'!$A$1:$D$8</definedName>
    <definedName name="ExternalData_1" localSheetId="0" hidden="1">Table1!$A$1:$D$8</definedName>
    <definedName name="ExternalData_1" localSheetId="3" hidden="1">Table2!$A$1:$C$7</definedName>
    <definedName name="ExternalData_1" localSheetId="7" hidden="1">Table3!$A$1:$B$4</definedName>
    <definedName name="ExternalData_2" localSheetId="11" hidden="1">Clean_Data_Warehouse!$A$1:$G$8</definedName>
  </definedNames>
  <calcPr calcId="191029"/>
  <pivotCaches>
    <pivotCache cacheId="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4" l="1"/>
  <c r="B9" i="14"/>
  <c r="B10" i="14"/>
  <c r="B7" i="14"/>
  <c r="F3" i="14"/>
  <c r="D3" i="14"/>
  <c r="B3" i="14"/>
  <c r="J2" i="12"/>
  <c r="J3" i="12"/>
  <c r="J4" i="12"/>
  <c r="J5" i="12"/>
  <c r="J6" i="12"/>
  <c r="J7" i="12"/>
  <c r="J8" i="12"/>
  <c r="I2" i="12"/>
  <c r="I3" i="12"/>
  <c r="I4" i="12"/>
  <c r="I5" i="12"/>
  <c r="I6" i="12"/>
  <c r="I7" i="12"/>
  <c r="I8" i="12"/>
  <c r="H2" i="12"/>
  <c r="H3" i="12"/>
  <c r="H4" i="12"/>
  <c r="H5" i="12"/>
  <c r="H6" i="12"/>
  <c r="H7" i="12"/>
  <c r="H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EC8835-3E73-4061-BD8F-781FB065B402}" keepAlive="1" name="Query - Master_Customers" description="Connection to the 'Master_Customers' query in the workbook." type="5" refreshedVersion="8" background="1" saveData="1">
    <dbPr connection="Provider=Microsoft.Mashup.OleDb.1;Data Source=$Workbook$;Location=Master_Customers;Extended Properties=&quot;&quot;" command="SELECT * FROM [Master_Customers]"/>
  </connection>
  <connection id="2" xr16:uid="{DE9F7E54-AFCB-449D-873D-920434FABE31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71FB8BBF-B408-47AF-8D2D-3ECA9412960E}" keepAlive="1" name="Query - Product_Catalog" description="Connection to the 'Product_Catalog' query in the workbook." type="5" refreshedVersion="8" background="1" saveData="1">
    <dbPr connection="Provider=Microsoft.Mashup.OleDb.1;Data Source=$Workbook$;Location=Product_Catalog;Extended Properties=&quot;&quot;" command="SELECT * FROM [Product_Catalog]"/>
  </connection>
  <connection id="4" xr16:uid="{791A6627-5D8F-4577-971D-8F01B1723AB4}" keepAlive="1" name="Query - Raw_Orders" description="Connection to the 'Raw_Orders' query in the workbook." type="5" refreshedVersion="8" background="1" saveData="1">
    <dbPr connection="Provider=Microsoft.Mashup.OleDb.1;Data Source=$Workbook$;Location=Raw_Orders;Extended Properties=&quot;&quot;" command="SELECT * FROM [Raw_Orders]"/>
  </connection>
  <connection id="5" xr16:uid="{55EB9BCC-68EA-4FCA-B507-2103ABD21A1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6" xr16:uid="{EFA2D4D8-FF24-4BE7-87A3-0103B1B69C7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7" xr16:uid="{82485C58-07B9-4825-9FB8-16B256D5EDE5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8" xr16:uid="{A8C93E81-94AD-437C-9ADB-A56C6F4E93C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<sst xmlns="http://schemas.openxmlformats.org/spreadsheetml/2006/main" count="237" uniqueCount="50">
  <si>
    <t>Customer_ID</t>
  </si>
  <si>
    <t>Order_ID</t>
  </si>
  <si>
    <t>Product_Code</t>
  </si>
  <si>
    <t>Units_Sold</t>
  </si>
  <si>
    <t>TXN-101</t>
  </si>
  <si>
    <t>TXN-102</t>
  </si>
  <si>
    <t>TXN-103</t>
  </si>
  <si>
    <t>TXN-104</t>
  </si>
  <si>
    <t>TXN-105</t>
  </si>
  <si>
    <t>TXN-106</t>
  </si>
  <si>
    <t>TXN-107</t>
  </si>
  <si>
    <t>C-901</t>
  </si>
  <si>
    <t>C-904</t>
  </si>
  <si>
    <t>C-902</t>
  </si>
  <si>
    <t>C-903</t>
  </si>
  <si>
    <t>C-905</t>
  </si>
  <si>
    <t>PROD-9921-X</t>
  </si>
  <si>
    <t>PROD-4012-M</t>
  </si>
  <si>
    <t>PROD-8815-S</t>
  </si>
  <si>
    <t>Customer_Name</t>
  </si>
  <si>
    <t>Region</t>
  </si>
  <si>
    <t>ACME RETAIL</t>
  </si>
  <si>
    <t>NEXUS LOGISTICS</t>
  </si>
  <si>
    <t>APEX SYSTEMS</t>
  </si>
  <si>
    <t>BEACON TECH</t>
  </si>
  <si>
    <t>HORIZON GROUP</t>
  </si>
  <si>
    <t>NORTH</t>
  </si>
  <si>
    <t>WEST</t>
  </si>
  <si>
    <t>EAST</t>
  </si>
  <si>
    <t>SOUTH</t>
  </si>
  <si>
    <t>Base_Price</t>
  </si>
  <si>
    <t>Column1</t>
  </si>
  <si>
    <t>Column2</t>
  </si>
  <si>
    <t>Column3</t>
  </si>
  <si>
    <t>Product Type</t>
  </si>
  <si>
    <t>Gross Revenue</t>
  </si>
  <si>
    <t>Order Tier</t>
  </si>
  <si>
    <t>Row Labels</t>
  </si>
  <si>
    <t>Grand Total</t>
  </si>
  <si>
    <t>Sum of Units_Sold</t>
  </si>
  <si>
    <t>Column Labels</t>
  </si>
  <si>
    <t xml:space="preserve"> </t>
  </si>
  <si>
    <t>TOTAL REVENUE</t>
  </si>
  <si>
    <t>TOTAL UNITS SOLD</t>
  </si>
  <si>
    <t>TOTAL ORDER COUNT</t>
  </si>
  <si>
    <t>north</t>
  </si>
  <si>
    <t>south</t>
  </si>
  <si>
    <t>east</t>
  </si>
  <si>
    <t>west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</si>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</sst>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0" fillId="3" borderId="0" xfId="0" applyFont="1" applyFill="1" applyBorder="1"/>
    <xf numFmtId="0" fontId="2" fillId="2" borderId="5" xfId="0" applyFont="1" applyFill="1" applyBorder="1"/>
    <xf numFmtId="0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[HariPoojitha_chinthalapudi_Excel_Capstone.xlsx]Pivot_Analysis!PivotTable1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69203849518811"/>
          <c:y val="0.14249781277340332"/>
          <c:w val="0.76388670166229222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Pivot_Analysis!$A$5:$A$10</c:f>
              <c:strCache>
                <c:ptCount val="5"/>
                <c:pt idx="0">
                  <c:v>ACME RETAIL</c:v>
                </c:pt>
                <c:pt idx="1">
                  <c:v>APEX SYSTEMS</c:v>
                </c:pt>
                <c:pt idx="2">
                  <c:v>BEACON TECH</c:v>
                </c:pt>
                <c:pt idx="3">
                  <c:v>HORIZON GROUP</c:v>
                </c:pt>
                <c:pt idx="4">
                  <c:v>NEXUS LOGISTICS</c:v>
                </c:pt>
              </c:strCache>
            </c:strRef>
          </c:cat>
          <c:val>
            <c:numRef>
              <c:f>Pivot_Analysis!$B$5:$B$10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4713-A6E8-99FFE31B272B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Pivot_Analysis!$A$5:$A$10</c:f>
              <c:strCache>
                <c:ptCount val="5"/>
                <c:pt idx="0">
                  <c:v>ACME RETAIL</c:v>
                </c:pt>
                <c:pt idx="1">
                  <c:v>APEX SYSTEMS</c:v>
                </c:pt>
                <c:pt idx="2">
                  <c:v>BEACON TECH</c:v>
                </c:pt>
                <c:pt idx="3">
                  <c:v>HORIZON GROUP</c:v>
                </c:pt>
                <c:pt idx="4">
                  <c:v>NEXUS LOGISTICS</c:v>
                </c:pt>
              </c:strCache>
            </c:strRef>
          </c:cat>
          <c:val>
            <c:numRef>
              <c:f>Pivot_Analysis!$C$5:$C$10</c:f>
              <c:numCache>
                <c:formatCode>General</c:formatCode>
                <c:ptCount val="5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4-4713-A6E8-99FFE31B272B}"/>
            </c:ext>
          </c:extLst>
        </c:ser>
        <c:ser>
          <c:idx val="2"/>
          <c:order val="2"/>
          <c:tx>
            <c:strRef>
              <c:f>Pivot_Analysis!$D$3:$D$4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Pivot_Analysis!$A$5:$A$10</c:f>
              <c:strCache>
                <c:ptCount val="5"/>
                <c:pt idx="0">
                  <c:v>ACME RETAIL</c:v>
                </c:pt>
                <c:pt idx="1">
                  <c:v>APEX SYSTEMS</c:v>
                </c:pt>
                <c:pt idx="2">
                  <c:v>BEACON TECH</c:v>
                </c:pt>
                <c:pt idx="3">
                  <c:v>HORIZON GROUP</c:v>
                </c:pt>
                <c:pt idx="4">
                  <c:v>NEXUS LOGISTICS</c:v>
                </c:pt>
              </c:strCache>
            </c:strRef>
          </c:cat>
          <c:val>
            <c:numRef>
              <c:f>Pivot_Analysis!$D$5:$D$10</c:f>
              <c:numCache>
                <c:formatCode>General</c:formatCode>
                <c:ptCount val="5"/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4-4713-A6E8-99FFE31B272B}"/>
            </c:ext>
          </c:extLst>
        </c:ser>
        <c:ser>
          <c:idx val="3"/>
          <c:order val="3"/>
          <c:tx>
            <c:strRef>
              <c:f>Pivot_Analysis!$E$3:$E$4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Pivot_Analysis!$A$5:$A$10</c:f>
              <c:strCache>
                <c:ptCount val="5"/>
                <c:pt idx="0">
                  <c:v>ACME RETAIL</c:v>
                </c:pt>
                <c:pt idx="1">
                  <c:v>APEX SYSTEMS</c:v>
                </c:pt>
                <c:pt idx="2">
                  <c:v>BEACON TECH</c:v>
                </c:pt>
                <c:pt idx="3">
                  <c:v>HORIZON GROUP</c:v>
                </c:pt>
                <c:pt idx="4">
                  <c:v>NEXUS LOGISTICS</c:v>
                </c:pt>
              </c:strCache>
            </c:strRef>
          </c:cat>
          <c:val>
            <c:numRef>
              <c:f>Pivot_Analysis!$E$5:$E$10</c:f>
              <c:numCache>
                <c:formatCode>General</c:formatCode>
                <c:ptCount val="5"/>
                <c:pt idx="3">
                  <c:v>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4-4713-A6E8-99FFE31B2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94416"/>
        <c:axId val="1131999632"/>
      </c:barChart>
      <c:catAx>
        <c:axId val="1471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99632"/>
        <c:crosses val="autoZero"/>
        <c:auto val="1"/>
        <c:lblAlgn val="ctr"/>
        <c:lblOffset val="100"/>
        <c:noMultiLvlLbl val="0"/>
      </c:catAx>
      <c:valAx>
        <c:axId val="11319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Performance by Region</a:t>
            </a:r>
            <a:endParaRPr lang="en-US"/>
          </a:p>
        </c:rich>
      </c:tx>
      <c:layout>
        <c:manualLayout>
          <c:xMode val="edge"/>
          <c:yMode val="edge"/>
          <c:x val="0.2457222222222222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Executive_Dashboard!$B$6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Executive_Dashboard!$A$7:$A$10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Executive_Dashboard!$B$7:$B$10</c:f>
              <c:numCache>
                <c:formatCode>General</c:formatCode>
                <c:ptCount val="4"/>
                <c:pt idx="0">
                  <c:v>1430</c:v>
                </c:pt>
                <c:pt idx="1">
                  <c:v>540</c:v>
                </c:pt>
                <c:pt idx="2">
                  <c:v>45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F-49BE-A4C7-27D94DA27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570576"/>
        <c:axId val="1131988592"/>
      </c:barChart>
      <c:catAx>
        <c:axId val="15035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88592"/>
        <c:crosses val="autoZero"/>
        <c:auto val="1"/>
        <c:lblAlgn val="ctr"/>
        <c:lblOffset val="100"/>
        <c:noMultiLvlLbl val="0"/>
      </c:catAx>
      <c:valAx>
        <c:axId val="113198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7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9</xdr:row>
      <xdr:rowOff>7620</xdr:rowOff>
    </xdr:from>
    <xdr:to>
      <xdr:col>14</xdr:col>
      <xdr:colOff>457200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660E1-A28E-44DB-D129-76C283756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03BB0-A56F-05E1-4021-B6E705812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HENDER SAI" refreshedDate="46315.875889699077" createdVersion="8" refreshedVersion="8" minRefreshableVersion="3" recordCount="7" xr:uid="{8721AB8F-36C4-4FF7-9394-0756158767CB}">
  <cacheSource type="worksheet">
    <worksheetSource name="Merge1"/>
  </cacheSource>
  <cacheFields count="10">
    <cacheField name="Order_ID" numFmtId="0">
      <sharedItems/>
    </cacheField>
    <cacheField name="Customer_ID" numFmtId="0">
      <sharedItems/>
    </cacheField>
    <cacheField name="Product_Code" numFmtId="0">
      <sharedItems/>
    </cacheField>
    <cacheField name="Units_Sold" numFmtId="0">
      <sharedItems containsSemiMixedTypes="0" containsString="0" containsNumber="1" containsInteger="1" minValue="1" maxValue="15"/>
    </cacheField>
    <cacheField name="Customer_Name" numFmtId="0">
      <sharedItems count="5">
        <s v="ACME RETAIL"/>
        <s v="NEXUS LOGISTICS"/>
        <s v="BEACON TECH"/>
        <s v="APEX SYSTEMS"/>
        <s v="HORIZON GROUP"/>
      </sharedItems>
    </cacheField>
    <cacheField name="Region" numFmtId="0">
      <sharedItems count="4">
        <s v="NORTH"/>
        <s v="WEST"/>
        <s v="SOUTH"/>
        <s v="EAST"/>
      </sharedItems>
    </cacheField>
    <cacheField name="Base_Price" numFmtId="0">
      <sharedItems containsSemiMixedTypes="0" containsString="0" containsNumber="1" containsInteger="1" minValue="45" maxValue="150"/>
    </cacheField>
    <cacheField name="Product Type" numFmtId="0">
      <sharedItems/>
    </cacheField>
    <cacheField name="Gross Revenue" numFmtId="0">
      <sharedItems containsSemiMixedTypes="0" containsString="0" containsNumber="1" containsInteger="1" minValue="45" maxValue="1275"/>
    </cacheField>
    <cacheField name="Order 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XN-101"/>
    <s v="C-901"/>
    <s v="PROD-9921-X"/>
    <n v="5"/>
    <x v="0"/>
    <x v="0"/>
    <n v="150"/>
    <s v="9921"/>
    <n v="750"/>
    <s v="Standard"/>
  </r>
  <r>
    <s v="TXN-103"/>
    <s v="C-902"/>
    <s v="PROD-9921-X"/>
    <n v="2"/>
    <x v="1"/>
    <x v="1"/>
    <n v="150"/>
    <s v="9921"/>
    <n v="300"/>
    <s v="Standard"/>
  </r>
  <r>
    <s v="TXN-104"/>
    <s v="C-901"/>
    <s v="PROD-8815-S"/>
    <n v="8"/>
    <x v="0"/>
    <x v="0"/>
    <n v="85"/>
    <s v="8815"/>
    <n v="680"/>
    <s v="Standard"/>
  </r>
  <r>
    <s v="TXN-102"/>
    <s v="C-904"/>
    <s v="PROD-4012-M"/>
    <n v="12"/>
    <x v="2"/>
    <x v="2"/>
    <n v="45"/>
    <s v="4012"/>
    <n v="540"/>
    <s v="Standard"/>
  </r>
  <r>
    <s v="TXN-106"/>
    <s v="C-902"/>
    <s v="PROD-8815-S"/>
    <n v="15"/>
    <x v="1"/>
    <x v="1"/>
    <n v="85"/>
    <s v="8815"/>
    <n v="1275"/>
    <s v="High-Value"/>
  </r>
  <r>
    <s v="TXN-105"/>
    <s v="C-903"/>
    <s v="PROD-4012-M"/>
    <n v="1"/>
    <x v="3"/>
    <x v="3"/>
    <n v="45"/>
    <s v="4012"/>
    <n v="45"/>
    <s v="Low-Value"/>
  </r>
  <r>
    <s v="TXN-107"/>
    <s v="C-905"/>
    <s v="PROD-9921-X"/>
    <n v="4"/>
    <x v="4"/>
    <x v="1"/>
    <n v="150"/>
    <s v="9921"/>
    <n v="600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637A8-EE97-450C-A25C-F495C54986A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0" firstHeaderRow="1" firstDataRow="2" firstDataCol="1"/>
  <pivotFields count="10">
    <pivotField showAll="0"/>
    <pivotField showAll="0"/>
    <pivotField showAll="0"/>
    <pivotField dataField="1"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_Sold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3881CA6-0607-4F33-866A-00B2C989B295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6DF844-A810-4553-AF7E-CF618234AD68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A4169E3-B7F8-4110-B2F5-2FAB7F9C923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016A088-10CD-479C-897C-67EE07D5914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E1BAE2-CE15-46CB-801C-509F1B1DC651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Regi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899920B-203D-40F5-B272-32A5C4344E2D}" autoFormatId="16" applyNumberFormats="0" applyBorderFormats="0" applyFontFormats="0" applyPatternFormats="0" applyAlignmentFormats="0" applyWidthHeightFormats="0">
  <queryTableRefresh nextId="3">
    <queryTableFields count="2">
      <queryTableField id="1" name="Base_Price" tableColumnId="1"/>
      <queryTableField id="2" name="Product_Cod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1E9FF1F-E2BC-4413-B66B-3329FB50C60F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Customer_Name" tableColumnId="5"/>
      <queryTableField id="6" name="Region" tableColumnId="6"/>
      <queryTableField id="7" name="Base_Pric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E173B0-6922-40E6-956B-C9404D4BFCBF}" autoFormatId="16" applyNumberFormats="0" applyBorderFormats="0" applyFontFormats="0" applyPatternFormats="0" applyAlignmentFormats="0" applyWidthHeightFormats="0">
  <queryTableRefresh nextId="3">
    <queryTableFields count="2">
      <queryTableField id="1" name="Base_Price" tableColumnId="1"/>
      <queryTableField id="2" name="Product_Cod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C7C311-E5CA-4967-AB70-1E1B873314F2}" name="Table1_1" displayName="Table1_1" ref="A1:D8" tableType="queryTable" totalsRowShown="0">
  <autoFilter ref="A1:D8" xr:uid="{54C7C311-E5CA-4967-AB70-1E1B873314F2}"/>
  <tableColumns count="4">
    <tableColumn id="1" xr3:uid="{83B6F725-29B9-443C-86BA-FDCD809DEF38}" uniqueName="1" name="Order_ID" queryTableFieldId="1" dataDxfId="31"/>
    <tableColumn id="2" xr3:uid="{EF3768AE-793C-4017-80B2-7B60B3936F9C}" uniqueName="2" name="Customer_ID" queryTableFieldId="2" dataDxfId="30"/>
    <tableColumn id="3" xr3:uid="{9B918DF4-A09C-4E8D-9DCD-33BDF26F8E10}" uniqueName="3" name="Product_Code" queryTableFieldId="3" dataDxfId="29"/>
    <tableColumn id="4" xr3:uid="{0789B590-4E73-43AE-89D1-64E04B0BDB64}" uniqueName="4" name="Units_Sol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30A63F-E70D-4DAF-9074-E62D8D930484}" name="Raw_Orders" displayName="Raw_Orders" ref="A1:D8" tableType="queryTable" totalsRowShown="0">
  <autoFilter ref="A1:D8" xr:uid="{5930A63F-E70D-4DAF-9074-E62D8D930484}"/>
  <tableColumns count="4">
    <tableColumn id="1" xr3:uid="{542496DE-CD64-4791-B124-3B15FF736468}" uniqueName="1" name="Order_ID" queryTableFieldId="1" dataDxfId="15"/>
    <tableColumn id="2" xr3:uid="{9A548FA2-3875-40A4-96C1-DE4BC8BFDD22}" uniqueName="2" name="Customer_ID" queryTableFieldId="2" dataDxfId="14"/>
    <tableColumn id="3" xr3:uid="{4BC0F57C-4768-4A43-B325-786B6AAB0241}" uniqueName="3" name="Product_Code" queryTableFieldId="3" dataDxfId="13"/>
    <tableColumn id="4" xr3:uid="{28C8F30A-3D9A-4A8E-BA36-BF624D3B3A37}" uniqueName="4" name="Units_Sol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84EE1-E15C-4EE0-8577-C7DB94B7E85A}" name="Table1" displayName="Table1" ref="A1:D8" totalsRowShown="0">
  <autoFilter ref="A1:D8" xr:uid="{8E484EE1-E15C-4EE0-8577-C7DB94B7E85A}"/>
  <tableColumns count="4">
    <tableColumn id="1" xr3:uid="{BCE7AF46-F769-495F-BE73-A14AD987D913}" name="Order_ID"/>
    <tableColumn id="2" xr3:uid="{B862148F-F6C1-4963-BEA8-4CEC00230CDA}" name="Customer_ID"/>
    <tableColumn id="3" xr3:uid="{D0728D12-B7AD-40A6-A093-351F7EE2201A}" name="Product_Code"/>
    <tableColumn id="4" xr3:uid="{D62BF1CC-86B3-44E0-974A-10C9F216F478}" name="Units_So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F755F1-FDD1-4C24-B49D-D1614E30D1C6}" name="Table2_1" displayName="Table2_1" ref="A1:C7" tableType="queryTable" totalsRowShown="0">
  <autoFilter ref="A1:C7" xr:uid="{66F755F1-FDD1-4C24-B49D-D1614E30D1C6}"/>
  <tableColumns count="3">
    <tableColumn id="1" xr3:uid="{C162F05F-230E-436B-95C8-C66901256E36}" uniqueName="1" name="Column1" queryTableFieldId="1" dataDxfId="28"/>
    <tableColumn id="2" xr3:uid="{E35886DB-29DF-4248-A409-EBEF6C4B556B}" uniqueName="2" name="Column2" queryTableFieldId="2" dataDxfId="27"/>
    <tableColumn id="3" xr3:uid="{578BF1E2-D73F-444C-ABC7-22FF3FBD97A4}" uniqueName="3" name="Column3" queryTableFieldId="3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18E423-AB98-44DA-B1ED-3FEEC8A86748}" name="Table2__2" displayName="Table2__2" ref="A1:C7" tableType="queryTable" totalsRowShown="0">
  <autoFilter ref="A1:C7" xr:uid="{3218E423-AB98-44DA-B1ED-3FEEC8A86748}"/>
  <tableColumns count="3">
    <tableColumn id="1" xr3:uid="{6EDEBA43-6C6D-4D1A-AC7C-44B28C3DA7B2}" uniqueName="1" name="Column1" queryTableFieldId="1" dataDxfId="25"/>
    <tableColumn id="2" xr3:uid="{A2E2DAE3-1D56-456F-B66C-DD35F033A914}" uniqueName="2" name="Column2" queryTableFieldId="2" dataDxfId="24"/>
    <tableColumn id="3" xr3:uid="{2DAD56B1-799A-4E6D-B4A8-7A50BDA38DE5}" uniqueName="3" name="Column3" queryTableFieldId="3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A21964-19CA-420E-88AB-557AE9D8CB0C}" name="Master_Customers" displayName="Master_Customers" ref="A1:C6" tableType="queryTable" totalsRowShown="0">
  <autoFilter ref="A1:C6" xr:uid="{54A21964-19CA-420E-88AB-557AE9D8CB0C}"/>
  <tableColumns count="3">
    <tableColumn id="1" xr3:uid="{FD25FCB2-32D6-43CC-83EC-FD952598A6B9}" uniqueName="1" name="Customer_ID" queryTableFieldId="1" dataDxfId="12"/>
    <tableColumn id="2" xr3:uid="{19F3E724-5ADE-4B04-80A5-FAEF63851428}" uniqueName="2" name="Customer_Name" queryTableFieldId="2" dataDxfId="11"/>
    <tableColumn id="3" xr3:uid="{2D3CD319-6598-45F8-A56F-9F59BF556DF4}" uniqueName="3" name="Region" queryTableFieldId="3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25A0C-741C-424A-A8CB-ABFB5216B409}" name="Table2" displayName="Table2" ref="A2:C7" totalsRowShown="0" headerRowDxfId="16" dataDxfId="17" tableBorderDxfId="21">
  <autoFilter ref="A2:C7" xr:uid="{05325A0C-741C-424A-A8CB-ABFB5216B409}"/>
  <tableColumns count="3">
    <tableColumn id="1" xr3:uid="{F28D3E06-A61F-4F77-A6DE-66004ADA8FB9}" name="Customer_ID" dataDxfId="20"/>
    <tableColumn id="2" xr3:uid="{8D85E7A8-13DA-4514-A12F-261C464D5F97}" name="Customer_Name" dataDxfId="19"/>
    <tableColumn id="3" xr3:uid="{EB2A4B29-C309-4750-A21D-D40936E6D479}" name="Region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3E05EC-58CE-4DA3-A5FA-FD626E5059F7}" name="Table3_1" displayName="Table3_1" ref="A1:B4" tableType="queryTable" totalsRowShown="0">
  <autoFilter ref="A1:B4" xr:uid="{4B3E05EC-58CE-4DA3-A5FA-FD626E5059F7}"/>
  <tableColumns count="2">
    <tableColumn id="1" xr3:uid="{4C3F3D91-F5B9-4755-AA16-B789B3648B3D}" uniqueName="1" name="Base_Price" queryTableFieldId="1"/>
    <tableColumn id="2" xr3:uid="{1971272A-33B2-45B6-AF53-7BF495D5F50E}" uniqueName="2" name="Product_Code" queryTableFieldId="2" dataDxfId="2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F286DB-4D3C-438D-BB83-38A914910ACE}" name="Merge1" displayName="Merge1" ref="A1:J8" tableType="queryTable" totalsRowShown="0">
  <autoFilter ref="A1:J8" xr:uid="{F6F286DB-4D3C-438D-BB83-38A914910ACE}"/>
  <tableColumns count="10">
    <tableColumn id="1" xr3:uid="{EBB4B0C0-38FC-402B-89D7-1A2289DA7C33}" uniqueName="1" name="Order_ID" queryTableFieldId="1" dataDxfId="8"/>
    <tableColumn id="2" xr3:uid="{4FB9F133-8FA4-4E24-A08B-EDA8926AF0B1}" uniqueName="2" name="Customer_ID" queryTableFieldId="2" dataDxfId="7"/>
    <tableColumn id="3" xr3:uid="{6B1896C6-778A-4E92-9264-8436296C13F7}" uniqueName="3" name="Product_Code" queryTableFieldId="3" dataDxfId="6"/>
    <tableColumn id="4" xr3:uid="{BE7A50B3-8DBC-4E75-A03F-981B6B2A890B}" uniqueName="4" name="Units_Sold" queryTableFieldId="4"/>
    <tableColumn id="5" xr3:uid="{C894A368-22D2-4108-95BA-98E303496CE9}" uniqueName="5" name="Customer_Name" queryTableFieldId="5" dataDxfId="5"/>
    <tableColumn id="6" xr3:uid="{5E5D7267-E6CC-46D2-B970-384D93E73D04}" uniqueName="6" name="Region" queryTableFieldId="6" dataDxfId="4"/>
    <tableColumn id="7" xr3:uid="{E41C9E38-0D61-4209-8672-E5C06C9DE7A9}" uniqueName="7" name="Base_Price" queryTableFieldId="7"/>
    <tableColumn id="8" xr3:uid="{22D276FF-22EE-42A7-A3C1-8C0EC587DEE2}" uniqueName="8" name="Product Type" queryTableFieldId="8" dataDxfId="3">
      <calculatedColumnFormula>MID(C2,6,4)</calculatedColumnFormula>
    </tableColumn>
    <tableColumn id="9" xr3:uid="{0F166DBD-9122-4FC4-B96C-532613D48209}" uniqueName="9" name="Gross Revenue" queryTableFieldId="9" dataDxfId="2">
      <calculatedColumnFormula>D2*G2</calculatedColumnFormula>
    </tableColumn>
    <tableColumn id="10" xr3:uid="{1FF411BE-247A-407E-8347-804234A8D6CC}" uniqueName="10" name="Order Tier" queryTableFieldId="10" dataDxfId="1">
      <calculatedColumnFormula>IF(I2&gt;=1000,"High-Value",IF(I2&gt;=300,"Standard","Low-Value"))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F68F16-E3A9-4612-B7C6-4F6BE16A9CC4}" name="Product_Catalog" displayName="Product_Catalog" ref="A1:B4" tableType="queryTable" totalsRowShown="0">
  <autoFilter ref="A1:B4" xr:uid="{88F68F16-E3A9-4612-B7C6-4F6BE16A9CC4}"/>
  <tableColumns count="2">
    <tableColumn id="1" xr3:uid="{831CE719-2108-4227-88FD-FC7144A17017}" uniqueName="1" name="Base_Price" queryTableFieldId="1"/>
    <tableColumn id="2" xr3:uid="{68D39DC4-445E-4B4E-AEF3-2657DBB078B4}" uniqueName="2" name="Product_Code" queryTableFieldId="2" dataDxf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56F8E9-7987-43DF-BF9D-7E10D99CCCDA}" name="Table3" displayName="Table3" ref="A1:B4" totalsRowShown="0">
  <autoFilter ref="A1:B4" xr:uid="{9856F8E9-7987-43DF-BF9D-7E10D99CCCDA}"/>
  <tableColumns count="2">
    <tableColumn id="1" xr3:uid="{42A48A19-32D9-4EFA-87A3-205A18DE9BB5}" name="Base_Price"/>
    <tableColumn id="2" xr3:uid="{41083817-530B-490D-893C-3B7C00A6143B}" name="Product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8817-57E7-4A16-80C4-D03BEEA4141D}">
  <dimension ref="A1:D8"/>
  <sheetViews>
    <sheetView workbookViewId="0"/>
  </sheetViews>
  <sheetFormatPr defaultRowHeight="14.4"/>
  <cols>
    <col min="1" max="1" width="10.77734375" bestFit="1" customWidth="1"/>
    <col min="2" max="2" width="14.109375" bestFit="1" customWidth="1"/>
    <col min="3" max="3" width="15.33203125" bestFit="1" customWidth="1"/>
    <col min="4" max="4" width="12.21875" bestFit="1" customWidth="1"/>
  </cols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16</v>
      </c>
      <c r="D2">
        <v>5</v>
      </c>
    </row>
    <row r="3" spans="1:4">
      <c r="A3" t="s">
        <v>5</v>
      </c>
      <c r="B3" t="s">
        <v>12</v>
      </c>
      <c r="C3" t="s">
        <v>17</v>
      </c>
      <c r="D3">
        <v>12</v>
      </c>
    </row>
    <row r="4" spans="1:4">
      <c r="A4" t="s">
        <v>6</v>
      </c>
      <c r="B4" t="s">
        <v>13</v>
      </c>
      <c r="C4" t="s">
        <v>16</v>
      </c>
      <c r="D4">
        <v>2</v>
      </c>
    </row>
    <row r="5" spans="1:4">
      <c r="A5" t="s">
        <v>7</v>
      </c>
      <c r="B5" t="s">
        <v>11</v>
      </c>
      <c r="C5" t="s">
        <v>18</v>
      </c>
      <c r="D5">
        <v>8</v>
      </c>
    </row>
    <row r="6" spans="1:4">
      <c r="A6" t="s">
        <v>8</v>
      </c>
      <c r="B6" t="s">
        <v>14</v>
      </c>
      <c r="C6" t="s">
        <v>17</v>
      </c>
      <c r="D6">
        <v>1</v>
      </c>
    </row>
    <row r="7" spans="1:4">
      <c r="A7" t="s">
        <v>9</v>
      </c>
      <c r="B7" t="s">
        <v>13</v>
      </c>
      <c r="C7" t="s">
        <v>18</v>
      </c>
      <c r="D7">
        <v>15</v>
      </c>
    </row>
    <row r="8" spans="1:4">
      <c r="A8" t="s">
        <v>10</v>
      </c>
      <c r="B8" t="s">
        <v>15</v>
      </c>
      <c r="C8" t="s">
        <v>16</v>
      </c>
      <c r="D8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880E-9985-47CD-AE55-D7121A30B7EB}">
  <dimension ref="A1:D8"/>
  <sheetViews>
    <sheetView workbookViewId="0"/>
  </sheetViews>
  <sheetFormatPr defaultRowHeight="14.4"/>
  <cols>
    <col min="1" max="1" width="10.77734375" bestFit="1" customWidth="1"/>
    <col min="2" max="2" width="14.109375" bestFit="1" customWidth="1"/>
    <col min="3" max="3" width="15.33203125" bestFit="1" customWidth="1"/>
    <col min="4" max="4" width="12.21875" bestFit="1" customWidth="1"/>
  </cols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s="9" t="s">
        <v>4</v>
      </c>
      <c r="B2" s="9" t="s">
        <v>11</v>
      </c>
      <c r="C2" s="9" t="s">
        <v>16</v>
      </c>
      <c r="D2">
        <v>5</v>
      </c>
    </row>
    <row r="3" spans="1:4">
      <c r="A3" s="9" t="s">
        <v>5</v>
      </c>
      <c r="B3" s="9" t="s">
        <v>12</v>
      </c>
      <c r="C3" s="9" t="s">
        <v>17</v>
      </c>
      <c r="D3">
        <v>12</v>
      </c>
    </row>
    <row r="4" spans="1:4">
      <c r="A4" s="9" t="s">
        <v>6</v>
      </c>
      <c r="B4" s="9" t="s">
        <v>13</v>
      </c>
      <c r="C4" s="9" t="s">
        <v>16</v>
      </c>
      <c r="D4">
        <v>2</v>
      </c>
    </row>
    <row r="5" spans="1:4">
      <c r="A5" s="9" t="s">
        <v>7</v>
      </c>
      <c r="B5" s="9" t="s">
        <v>11</v>
      </c>
      <c r="C5" s="9" t="s">
        <v>18</v>
      </c>
      <c r="D5">
        <v>8</v>
      </c>
    </row>
    <row r="6" spans="1:4">
      <c r="A6" s="9" t="s">
        <v>8</v>
      </c>
      <c r="B6" s="9" t="s">
        <v>14</v>
      </c>
      <c r="C6" s="9" t="s">
        <v>17</v>
      </c>
      <c r="D6">
        <v>1</v>
      </c>
    </row>
    <row r="7" spans="1:4">
      <c r="A7" s="9" t="s">
        <v>9</v>
      </c>
      <c r="B7" s="9" t="s">
        <v>13</v>
      </c>
      <c r="C7" s="9" t="s">
        <v>18</v>
      </c>
      <c r="D7">
        <v>15</v>
      </c>
    </row>
    <row r="8" spans="1:4">
      <c r="A8" s="9" t="s">
        <v>10</v>
      </c>
      <c r="B8" s="9" t="s">
        <v>15</v>
      </c>
      <c r="C8" s="9" t="s">
        <v>16</v>
      </c>
      <c r="D8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D870-8BC0-43D7-A3F8-44344B72837B}">
  <dimension ref="A1:D19"/>
  <sheetViews>
    <sheetView workbookViewId="0"/>
  </sheetViews>
  <sheetFormatPr defaultColWidth="17.88671875" defaultRowHeight="14.4"/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16</v>
      </c>
      <c r="D2">
        <v>5</v>
      </c>
    </row>
    <row r="3" spans="1:4">
      <c r="A3" t="s">
        <v>5</v>
      </c>
      <c r="B3" t="s">
        <v>12</v>
      </c>
      <c r="C3" t="s">
        <v>17</v>
      </c>
      <c r="D3">
        <v>12</v>
      </c>
    </row>
    <row r="4" spans="1:4">
      <c r="A4" t="s">
        <v>6</v>
      </c>
      <c r="B4" t="s">
        <v>13</v>
      </c>
      <c r="C4" t="s">
        <v>16</v>
      </c>
      <c r="D4">
        <v>2</v>
      </c>
    </row>
    <row r="5" spans="1:4">
      <c r="A5" t="s">
        <v>7</v>
      </c>
      <c r="B5" t="s">
        <v>11</v>
      </c>
      <c r="C5" t="s">
        <v>18</v>
      </c>
      <c r="D5">
        <v>8</v>
      </c>
    </row>
    <row r="6" spans="1:4">
      <c r="A6" t="s">
        <v>8</v>
      </c>
      <c r="B6" t="s">
        <v>14</v>
      </c>
      <c r="C6" t="s">
        <v>17</v>
      </c>
      <c r="D6">
        <v>1</v>
      </c>
    </row>
    <row r="7" spans="1:4">
      <c r="A7" t="s">
        <v>9</v>
      </c>
      <c r="B7" t="s">
        <v>13</v>
      </c>
      <c r="C7" t="s">
        <v>18</v>
      </c>
      <c r="D7">
        <v>15</v>
      </c>
    </row>
    <row r="8" spans="1:4">
      <c r="A8" t="s">
        <v>10</v>
      </c>
      <c r="B8" t="s">
        <v>15</v>
      </c>
      <c r="C8" t="s">
        <v>16</v>
      </c>
      <c r="D8">
        <v>4</v>
      </c>
    </row>
    <row r="18" spans="3:3">
      <c r="C18" s="8"/>
    </row>
    <row r="19" spans="3:3">
      <c r="C1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134-CC80-4E8E-9ACC-E25F47BD54CF}">
  <dimension ref="A1:C7"/>
  <sheetViews>
    <sheetView workbookViewId="0"/>
  </sheetViews>
  <sheetFormatPr defaultRowHeight="14.4"/>
  <cols>
    <col min="1" max="1" width="11.6640625" bestFit="1" customWidth="1"/>
    <col min="2" max="2" width="15.5546875" bestFit="1" customWidth="1"/>
    <col min="3" max="3" width="10.77734375" bestFit="1" customWidth="1"/>
  </cols>
  <sheetData>
    <row r="1" spans="1:3">
      <c r="A1" t="s">
        <v>31</v>
      </c>
      <c r="B1" t="s">
        <v>32</v>
      </c>
      <c r="C1" t="s">
        <v>33</v>
      </c>
    </row>
    <row r="2" spans="1:3">
      <c r="A2" t="s">
        <v>0</v>
      </c>
      <c r="B2" t="s">
        <v>19</v>
      </c>
      <c r="C2" t="s">
        <v>20</v>
      </c>
    </row>
    <row r="3" spans="1:3">
      <c r="A3" t="s">
        <v>11</v>
      </c>
      <c r="B3" t="s">
        <v>21</v>
      </c>
      <c r="C3" t="s">
        <v>26</v>
      </c>
    </row>
    <row r="4" spans="1:3">
      <c r="A4" t="s">
        <v>13</v>
      </c>
      <c r="B4" t="s">
        <v>22</v>
      </c>
      <c r="C4" t="s">
        <v>27</v>
      </c>
    </row>
    <row r="5" spans="1:3">
      <c r="A5" t="s">
        <v>14</v>
      </c>
      <c r="B5" t="s">
        <v>23</v>
      </c>
      <c r="C5" t="s">
        <v>28</v>
      </c>
    </row>
    <row r="6" spans="1:3">
      <c r="A6" t="s">
        <v>12</v>
      </c>
      <c r="B6" t="s">
        <v>24</v>
      </c>
      <c r="C6" t="s">
        <v>29</v>
      </c>
    </row>
    <row r="7" spans="1:3">
      <c r="A7" t="s">
        <v>15</v>
      </c>
      <c r="B7" t="s">
        <v>25</v>
      </c>
      <c r="C7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D206-C953-4F34-B6DC-9C50F7A951EF}">
  <dimension ref="A1:C7"/>
  <sheetViews>
    <sheetView workbookViewId="0">
      <selection sqref="A1:C7"/>
    </sheetView>
  </sheetViews>
  <sheetFormatPr defaultRowHeight="14.4"/>
  <cols>
    <col min="1" max="1" width="11.6640625" bestFit="1" customWidth="1"/>
    <col min="2" max="2" width="15.5546875" bestFit="1" customWidth="1"/>
    <col min="3" max="3" width="10.77734375" bestFit="1" customWidth="1"/>
  </cols>
  <sheetData>
    <row r="1" spans="1:3">
      <c r="A1" t="s">
        <v>31</v>
      </c>
      <c r="B1" t="s">
        <v>32</v>
      </c>
      <c r="C1" t="s">
        <v>33</v>
      </c>
    </row>
    <row r="2" spans="1:3">
      <c r="A2" t="s">
        <v>0</v>
      </c>
      <c r="B2" t="s">
        <v>19</v>
      </c>
      <c r="C2" t="s">
        <v>20</v>
      </c>
    </row>
    <row r="3" spans="1:3">
      <c r="A3" t="s">
        <v>11</v>
      </c>
      <c r="B3" t="s">
        <v>21</v>
      </c>
      <c r="C3" t="s">
        <v>26</v>
      </c>
    </row>
    <row r="4" spans="1:3">
      <c r="A4" t="s">
        <v>13</v>
      </c>
      <c r="B4" t="s">
        <v>22</v>
      </c>
      <c r="C4" t="s">
        <v>27</v>
      </c>
    </row>
    <row r="5" spans="1:3">
      <c r="A5" t="s">
        <v>14</v>
      </c>
      <c r="B5" t="s">
        <v>23</v>
      </c>
      <c r="C5" t="s">
        <v>28</v>
      </c>
    </row>
    <row r="6" spans="1:3">
      <c r="A6" t="s">
        <v>12</v>
      </c>
      <c r="B6" t="s">
        <v>24</v>
      </c>
      <c r="C6" t="s">
        <v>29</v>
      </c>
    </row>
    <row r="7" spans="1:3">
      <c r="A7" t="s">
        <v>15</v>
      </c>
      <c r="B7" t="s">
        <v>25</v>
      </c>
      <c r="C7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F049-27BE-49DA-AC66-61298B5BAC71}">
  <dimension ref="A1:C6"/>
  <sheetViews>
    <sheetView workbookViewId="0"/>
  </sheetViews>
  <sheetFormatPr defaultRowHeight="14.4"/>
  <cols>
    <col min="1" max="1" width="14.109375" bestFit="1" customWidth="1"/>
    <col min="2" max="2" width="17.44140625" bestFit="1" customWidth="1"/>
    <col min="3" max="3" width="9" bestFit="1" customWidth="1"/>
  </cols>
  <sheetData>
    <row r="1" spans="1:3">
      <c r="A1" t="s">
        <v>0</v>
      </c>
      <c r="B1" t="s">
        <v>19</v>
      </c>
      <c r="C1" t="s">
        <v>20</v>
      </c>
    </row>
    <row r="2" spans="1:3">
      <c r="A2" s="9" t="s">
        <v>11</v>
      </c>
      <c r="B2" s="9" t="s">
        <v>21</v>
      </c>
      <c r="C2" s="9" t="s">
        <v>26</v>
      </c>
    </row>
    <row r="3" spans="1:3">
      <c r="A3" s="9" t="s">
        <v>13</v>
      </c>
      <c r="B3" s="9" t="s">
        <v>22</v>
      </c>
      <c r="C3" s="9" t="s">
        <v>27</v>
      </c>
    </row>
    <row r="4" spans="1:3">
      <c r="A4" s="9" t="s">
        <v>14</v>
      </c>
      <c r="B4" s="9" t="s">
        <v>23</v>
      </c>
      <c r="C4" s="9" t="s">
        <v>28</v>
      </c>
    </row>
    <row r="5" spans="1:3">
      <c r="A5" s="9" t="s">
        <v>12</v>
      </c>
      <c r="B5" s="9" t="s">
        <v>24</v>
      </c>
      <c r="C5" s="9" t="s">
        <v>29</v>
      </c>
    </row>
    <row r="6" spans="1:3">
      <c r="A6" s="9" t="s">
        <v>15</v>
      </c>
      <c r="B6" s="9" t="s">
        <v>25</v>
      </c>
      <c r="C6" s="9" t="s">
        <v>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42DD-26EB-47BC-8B74-8CF1BF389C47}">
  <dimension ref="A1:C7"/>
  <sheetViews>
    <sheetView workbookViewId="0">
      <selection activeCell="A3" sqref="A3"/>
    </sheetView>
  </sheetViews>
  <sheetFormatPr defaultColWidth="18" defaultRowHeight="14.4"/>
  <sheetData>
    <row r="1" spans="1:3">
      <c r="A1" s="2"/>
      <c r="B1" s="3"/>
      <c r="C1" s="4"/>
    </row>
    <row r="2" spans="1:3">
      <c r="A2" s="7" t="s">
        <v>0</v>
      </c>
      <c r="B2" s="7" t="s">
        <v>19</v>
      </c>
      <c r="C2" s="7" t="s">
        <v>20</v>
      </c>
    </row>
    <row r="3" spans="1:3">
      <c r="A3" s="6" t="s">
        <v>11</v>
      </c>
      <c r="B3" s="6" t="s">
        <v>21</v>
      </c>
      <c r="C3" s="6" t="s">
        <v>26</v>
      </c>
    </row>
    <row r="4" spans="1:3">
      <c r="A4" s="5" t="s">
        <v>13</v>
      </c>
      <c r="B4" s="5" t="s">
        <v>22</v>
      </c>
      <c r="C4" s="5" t="s">
        <v>27</v>
      </c>
    </row>
    <row r="5" spans="1:3">
      <c r="A5" s="6" t="s">
        <v>14</v>
      </c>
      <c r="B5" s="6" t="s">
        <v>23</v>
      </c>
      <c r="C5" s="6" t="s">
        <v>28</v>
      </c>
    </row>
    <row r="6" spans="1:3">
      <c r="A6" s="5" t="s">
        <v>12</v>
      </c>
      <c r="B6" s="5" t="s">
        <v>24</v>
      </c>
      <c r="C6" s="5" t="s">
        <v>29</v>
      </c>
    </row>
    <row r="7" spans="1:3">
      <c r="A7" s="6" t="s">
        <v>15</v>
      </c>
      <c r="B7" s="6" t="s">
        <v>25</v>
      </c>
      <c r="C7" s="6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4733-9B32-407D-864C-2FFEA14C1F3C}">
  <dimension ref="A1:B4"/>
  <sheetViews>
    <sheetView workbookViewId="0">
      <selection sqref="A1:B4"/>
    </sheetView>
  </sheetViews>
  <sheetFormatPr defaultRowHeight="14.4"/>
  <cols>
    <col min="1" max="1" width="12.21875" bestFit="1" customWidth="1"/>
    <col min="2" max="2" width="15.33203125" bestFit="1" customWidth="1"/>
  </cols>
  <sheetData>
    <row r="1" spans="1:2">
      <c r="A1" t="s">
        <v>30</v>
      </c>
      <c r="B1" t="s">
        <v>2</v>
      </c>
    </row>
    <row r="2" spans="1:2">
      <c r="A2">
        <v>150</v>
      </c>
      <c r="B2" t="s">
        <v>16</v>
      </c>
    </row>
    <row r="3" spans="1:2">
      <c r="A3">
        <v>45</v>
      </c>
      <c r="B3" t="s">
        <v>17</v>
      </c>
    </row>
    <row r="4" spans="1:2">
      <c r="A4">
        <v>85</v>
      </c>
      <c r="B4" t="s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1DC7-B3FF-4FDC-AE96-E68B57B9EF0B}">
  <dimension ref="A3:F13"/>
  <sheetViews>
    <sheetView workbookViewId="0">
      <selection activeCell="C5" sqref="C5"/>
    </sheetView>
  </sheetViews>
  <sheetFormatPr defaultRowHeight="14.4"/>
  <cols>
    <col min="1" max="1" width="16.5546875" bestFit="1" customWidth="1"/>
    <col min="2" max="2" width="15.5546875" bestFit="1" customWidth="1"/>
    <col min="3" max="3" width="7" bestFit="1" customWidth="1"/>
    <col min="4" max="4" width="6.88671875" bestFit="1" customWidth="1"/>
    <col min="5" max="5" width="5.77734375" bestFit="1" customWidth="1"/>
    <col min="6" max="6" width="10.77734375" bestFit="1" customWidth="1"/>
  </cols>
  <sheetData>
    <row r="3" spans="1:6">
      <c r="A3" s="12" t="s">
        <v>39</v>
      </c>
      <c r="B3" s="12" t="s">
        <v>40</v>
      </c>
    </row>
    <row r="4" spans="1:6">
      <c r="A4" s="12" t="s">
        <v>37</v>
      </c>
      <c r="B4" t="s">
        <v>28</v>
      </c>
      <c r="C4" t="s">
        <v>26</v>
      </c>
      <c r="D4" t="s">
        <v>29</v>
      </c>
      <c r="E4" t="s">
        <v>27</v>
      </c>
      <c r="F4" t="s">
        <v>38</v>
      </c>
    </row>
    <row r="5" spans="1:6">
      <c r="A5" s="13" t="s">
        <v>21</v>
      </c>
      <c r="B5" s="9"/>
      <c r="C5" s="9">
        <v>13</v>
      </c>
      <c r="D5" s="9"/>
      <c r="E5" s="9"/>
      <c r="F5" s="9">
        <v>13</v>
      </c>
    </row>
    <row r="6" spans="1:6">
      <c r="A6" s="13" t="s">
        <v>23</v>
      </c>
      <c r="B6" s="9">
        <v>1</v>
      </c>
      <c r="C6" s="9"/>
      <c r="D6" s="9"/>
      <c r="E6" s="9"/>
      <c r="F6" s="9">
        <v>1</v>
      </c>
    </row>
    <row r="7" spans="1:6">
      <c r="A7" s="13" t="s">
        <v>24</v>
      </c>
      <c r="B7" s="9"/>
      <c r="C7" s="9"/>
      <c r="D7" s="9">
        <v>12</v>
      </c>
      <c r="E7" s="9"/>
      <c r="F7" s="9">
        <v>12</v>
      </c>
    </row>
    <row r="8" spans="1:6">
      <c r="A8" s="13" t="s">
        <v>25</v>
      </c>
      <c r="B8" s="9"/>
      <c r="C8" s="9"/>
      <c r="D8" s="9"/>
      <c r="E8" s="9">
        <v>4</v>
      </c>
      <c r="F8" s="9">
        <v>4</v>
      </c>
    </row>
    <row r="9" spans="1:6">
      <c r="A9" s="13" t="s">
        <v>22</v>
      </c>
      <c r="B9" s="9"/>
      <c r="C9" s="9"/>
      <c r="D9" s="9"/>
      <c r="E9" s="9">
        <v>17</v>
      </c>
      <c r="F9" s="9">
        <v>17</v>
      </c>
    </row>
    <row r="10" spans="1:6">
      <c r="A10" s="13" t="s">
        <v>38</v>
      </c>
      <c r="B10" s="9">
        <v>1</v>
      </c>
      <c r="C10" s="9">
        <v>13</v>
      </c>
      <c r="D10" s="9">
        <v>12</v>
      </c>
      <c r="E10" s="9">
        <v>21</v>
      </c>
      <c r="F10" s="9">
        <v>47</v>
      </c>
    </row>
    <row r="13" spans="1:6">
      <c r="A13" s="13" t="s">
        <v>41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9DE9-166A-49BA-8066-691AB7AD5F17}">
  <dimension ref="A1"/>
  <sheetViews>
    <sheetView workbookViewId="0">
      <selection activeCell="A3" sqref="A3"/>
    </sheetView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2B0B-BB89-41E1-845A-0A30EE310BF5}">
  <dimension ref="A2:H10"/>
  <sheetViews>
    <sheetView showGridLines="0" tabSelected="1" workbookViewId="0">
      <selection activeCell="R22" sqref="R22"/>
    </sheetView>
  </sheetViews>
  <sheetFormatPr defaultRowHeight="14.4"/>
  <sheetData>
    <row r="2" spans="1:8">
      <c r="B2" s="14" t="s">
        <v>42</v>
      </c>
      <c r="C2" s="15"/>
      <c r="D2" s="14" t="s">
        <v>43</v>
      </c>
      <c r="E2" s="15"/>
      <c r="F2" s="14" t="s">
        <v>44</v>
      </c>
      <c r="G2" s="15"/>
      <c r="H2" s="15"/>
    </row>
    <row r="3" spans="1:8">
      <c r="B3" s="11">
        <f>SUM(Clean_Data_Warehouse!I2:I8)</f>
        <v>4190</v>
      </c>
      <c r="D3" s="11">
        <f>SUM(Clean_Data_Warehouse!D2:D8)</f>
        <v>47</v>
      </c>
      <c r="F3" s="11">
        <f>COUNTA(Clean_Data_Warehouse!A2:A8)</f>
        <v>7</v>
      </c>
    </row>
    <row r="6" spans="1:8">
      <c r="A6" s="10" t="s">
        <v>20</v>
      </c>
      <c r="B6" s="10" t="s">
        <v>49</v>
      </c>
    </row>
    <row r="7" spans="1:8">
      <c r="A7" t="s">
        <v>45</v>
      </c>
      <c r="B7" s="11">
        <f>SUMIF(Clean_Data_Warehouse!F:F,A7,Clean_Data_Warehouse!I:I)</f>
        <v>1430</v>
      </c>
    </row>
    <row r="8" spans="1:8">
      <c r="A8" t="s">
        <v>46</v>
      </c>
      <c r="B8" s="11">
        <f>SUMIF(Clean_Data_Warehouse!F:F,A8,Clean_Data_Warehouse!I:I)</f>
        <v>540</v>
      </c>
    </row>
    <row r="9" spans="1:8">
      <c r="A9" t="s">
        <v>47</v>
      </c>
      <c r="B9" s="11">
        <f>SUMIF(Clean_Data_Warehouse!F:F,A9,Clean_Data_Warehouse!I:I)</f>
        <v>45</v>
      </c>
    </row>
    <row r="10" spans="1:8">
      <c r="A10" t="s">
        <v>48</v>
      </c>
      <c r="B10" s="11">
        <f>SUMIF(Clean_Data_Warehouse!F:F,A10,Clean_Data_Warehouse!I:I)</f>
        <v>2175</v>
      </c>
    </row>
  </sheetData>
  <sheetProtection sheet="1" objects="1" scenario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2541-461F-4DFD-9E41-C74C0E72EA08}">
  <dimension ref="A1:J8"/>
  <sheetViews>
    <sheetView workbookViewId="0">
      <selection activeCell="E1" sqref="E1:J8"/>
    </sheetView>
  </sheetViews>
  <sheetFormatPr defaultRowHeight="14.4"/>
  <cols>
    <col min="1" max="1" width="10.77734375" bestFit="1" customWidth="1"/>
    <col min="2" max="2" width="14.109375" bestFit="1" customWidth="1"/>
    <col min="3" max="3" width="15.33203125" bestFit="1" customWidth="1"/>
    <col min="4" max="4" width="12.21875" bestFit="1" customWidth="1"/>
    <col min="5" max="5" width="17.44140625" bestFit="1" customWidth="1"/>
    <col min="6" max="6" width="9" bestFit="1" customWidth="1"/>
    <col min="7" max="7" width="12.21875" bestFit="1" customWidth="1"/>
  </cols>
  <sheetData>
    <row r="1" spans="1:10">
      <c r="A1" t="s">
        <v>1</v>
      </c>
      <c r="B1" t="s">
        <v>0</v>
      </c>
      <c r="C1" t="s">
        <v>2</v>
      </c>
      <c r="D1" t="s">
        <v>3</v>
      </c>
      <c r="E1" t="s">
        <v>19</v>
      </c>
      <c r="F1" t="s">
        <v>20</v>
      </c>
      <c r="G1" t="s">
        <v>30</v>
      </c>
      <c r="H1" s="10" t="s">
        <v>34</v>
      </c>
      <c r="I1" s="10" t="s">
        <v>35</v>
      </c>
      <c r="J1" s="10" t="s">
        <v>36</v>
      </c>
    </row>
    <row r="2" spans="1:10">
      <c r="A2" s="9" t="s">
        <v>4</v>
      </c>
      <c r="B2" s="9" t="s">
        <v>11</v>
      </c>
      <c r="C2" s="9" t="s">
        <v>16</v>
      </c>
      <c r="D2">
        <v>5</v>
      </c>
      <c r="E2" s="9" t="s">
        <v>21</v>
      </c>
      <c r="F2" s="9" t="s">
        <v>26</v>
      </c>
      <c r="G2">
        <v>150</v>
      </c>
      <c r="H2" s="11" t="str">
        <f t="shared" ref="H2:H8" si="0">MID(C2,6,4)</f>
        <v>9921</v>
      </c>
      <c r="I2" s="11">
        <f t="shared" ref="I2:I8" si="1">D2*G2</f>
        <v>750</v>
      </c>
      <c r="J2" s="11" t="str">
        <f t="shared" ref="J2:J8" si="2">IF(I2&gt;=1000,"High-Value",IF(I2&gt;=300,"Standard","Low-Value"))</f>
        <v>Standard</v>
      </c>
    </row>
    <row r="3" spans="1:10">
      <c r="A3" s="9" t="s">
        <v>6</v>
      </c>
      <c r="B3" s="9" t="s">
        <v>13</v>
      </c>
      <c r="C3" s="9" t="s">
        <v>16</v>
      </c>
      <c r="D3">
        <v>2</v>
      </c>
      <c r="E3" s="9" t="s">
        <v>22</v>
      </c>
      <c r="F3" s="9" t="s">
        <v>27</v>
      </c>
      <c r="G3">
        <v>150</v>
      </c>
      <c r="H3" s="9" t="str">
        <f t="shared" si="0"/>
        <v>9921</v>
      </c>
      <c r="I3" s="9">
        <f t="shared" si="1"/>
        <v>300</v>
      </c>
      <c r="J3" s="9" t="str">
        <f t="shared" si="2"/>
        <v>Standard</v>
      </c>
    </row>
    <row r="4" spans="1:10">
      <c r="A4" s="9" t="s">
        <v>7</v>
      </c>
      <c r="B4" s="9" t="s">
        <v>11</v>
      </c>
      <c r="C4" s="9" t="s">
        <v>18</v>
      </c>
      <c r="D4">
        <v>8</v>
      </c>
      <c r="E4" s="9" t="s">
        <v>21</v>
      </c>
      <c r="F4" s="9" t="s">
        <v>26</v>
      </c>
      <c r="G4">
        <v>85</v>
      </c>
      <c r="H4" s="9" t="str">
        <f t="shared" si="0"/>
        <v>8815</v>
      </c>
      <c r="I4" s="9">
        <f t="shared" si="1"/>
        <v>680</v>
      </c>
      <c r="J4" s="9" t="str">
        <f t="shared" si="2"/>
        <v>Standard</v>
      </c>
    </row>
    <row r="5" spans="1:10">
      <c r="A5" s="9" t="s">
        <v>5</v>
      </c>
      <c r="B5" s="9" t="s">
        <v>12</v>
      </c>
      <c r="C5" s="9" t="s">
        <v>17</v>
      </c>
      <c r="D5">
        <v>12</v>
      </c>
      <c r="E5" s="9" t="s">
        <v>24</v>
      </c>
      <c r="F5" s="9" t="s">
        <v>29</v>
      </c>
      <c r="G5">
        <v>45</v>
      </c>
      <c r="H5" s="9" t="str">
        <f t="shared" si="0"/>
        <v>4012</v>
      </c>
      <c r="I5" s="9">
        <f t="shared" si="1"/>
        <v>540</v>
      </c>
      <c r="J5" s="9" t="str">
        <f t="shared" si="2"/>
        <v>Standard</v>
      </c>
    </row>
    <row r="6" spans="1:10">
      <c r="A6" s="9" t="s">
        <v>9</v>
      </c>
      <c r="B6" s="9" t="s">
        <v>13</v>
      </c>
      <c r="C6" s="9" t="s">
        <v>18</v>
      </c>
      <c r="D6">
        <v>15</v>
      </c>
      <c r="E6" s="9" t="s">
        <v>22</v>
      </c>
      <c r="F6" s="9" t="s">
        <v>27</v>
      </c>
      <c r="G6">
        <v>85</v>
      </c>
      <c r="H6" s="9" t="str">
        <f t="shared" si="0"/>
        <v>8815</v>
      </c>
      <c r="I6" s="9">
        <f t="shared" si="1"/>
        <v>1275</v>
      </c>
      <c r="J6" s="9" t="str">
        <f t="shared" si="2"/>
        <v>High-Value</v>
      </c>
    </row>
    <row r="7" spans="1:10">
      <c r="A7" s="9" t="s">
        <v>8</v>
      </c>
      <c r="B7" s="9" t="s">
        <v>14</v>
      </c>
      <c r="C7" s="9" t="s">
        <v>17</v>
      </c>
      <c r="D7">
        <v>1</v>
      </c>
      <c r="E7" s="9" t="s">
        <v>23</v>
      </c>
      <c r="F7" s="9" t="s">
        <v>28</v>
      </c>
      <c r="G7">
        <v>45</v>
      </c>
      <c r="H7" s="9" t="str">
        <f t="shared" si="0"/>
        <v>4012</v>
      </c>
      <c r="I7" s="9">
        <f t="shared" si="1"/>
        <v>45</v>
      </c>
      <c r="J7" s="9" t="str">
        <f t="shared" si="2"/>
        <v>Low-Value</v>
      </c>
    </row>
    <row r="8" spans="1:10">
      <c r="A8" s="9" t="s">
        <v>10</v>
      </c>
      <c r="B8" s="9" t="s">
        <v>15</v>
      </c>
      <c r="C8" s="9" t="s">
        <v>16</v>
      </c>
      <c r="D8">
        <v>4</v>
      </c>
      <c r="E8" s="9" t="s">
        <v>25</v>
      </c>
      <c r="F8" s="9" t="s">
        <v>27</v>
      </c>
      <c r="G8">
        <v>150</v>
      </c>
      <c r="H8" s="9" t="str">
        <f t="shared" si="0"/>
        <v>9921</v>
      </c>
      <c r="I8" s="9">
        <f t="shared" si="1"/>
        <v>600</v>
      </c>
      <c r="J8" s="9" t="str">
        <f t="shared" si="2"/>
        <v>Standard</v>
      </c>
    </row>
  </sheetData>
  <conditionalFormatting sqref="J1:J8">
    <cfRule type="containsText" dxfId="0" priority="1" operator="containsText" text="High-Value">
      <formula>NOT(ISERROR(SEARCH("High-Value",J1)))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2646-A556-44FC-A864-234C1F858EF3}">
  <dimension ref="A1:B4"/>
  <sheetViews>
    <sheetView workbookViewId="0"/>
  </sheetViews>
  <sheetFormatPr defaultRowHeight="14.4"/>
  <cols>
    <col min="1" max="1" width="12.21875" bestFit="1" customWidth="1"/>
    <col min="2" max="2" width="15.33203125" bestFit="1" customWidth="1"/>
  </cols>
  <sheetData>
    <row r="1" spans="1:2">
      <c r="A1" t="s">
        <v>30</v>
      </c>
      <c r="B1" t="s">
        <v>2</v>
      </c>
    </row>
    <row r="2" spans="1:2">
      <c r="A2">
        <v>150</v>
      </c>
      <c r="B2" s="9" t="s">
        <v>16</v>
      </c>
    </row>
    <row r="3" spans="1:2">
      <c r="A3">
        <v>45</v>
      </c>
      <c r="B3" s="9" t="s">
        <v>17</v>
      </c>
    </row>
    <row r="4" spans="1:2">
      <c r="A4">
        <v>85</v>
      </c>
      <c r="B4" s="9" t="s">
        <v>18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EB76-5099-47F2-9829-33C65741CB39}">
  <dimension ref="A1:B4"/>
  <sheetViews>
    <sheetView workbookViewId="0">
      <selection sqref="A1:B4"/>
    </sheetView>
  </sheetViews>
  <sheetFormatPr defaultColWidth="17.6640625" defaultRowHeight="14.4"/>
  <sheetData>
    <row r="1" spans="1:2">
      <c r="A1" t="s">
        <v>30</v>
      </c>
      <c r="B1" t="s">
        <v>2</v>
      </c>
    </row>
    <row r="2" spans="1:2">
      <c r="A2">
        <v>150</v>
      </c>
      <c r="B2" t="s">
        <v>16</v>
      </c>
    </row>
    <row r="3" spans="1:2">
      <c r="A3">
        <v>45</v>
      </c>
      <c r="B3" t="s">
        <v>17</v>
      </c>
    </row>
    <row r="4" spans="1:2">
      <c r="A4">
        <v>85</v>
      </c>
      <c r="B4" t="s">
        <v>18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19FB-EBCD-4433-A00C-ED29D2F85E9C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42FC1-DBBE-4606-9374-89966AF244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Table1</vt:lpstr>
      <vt:lpstr>Raw_Orders (2)</vt:lpstr>
      <vt:lpstr>Raw_Orders</vt:lpstr>
      <vt:lpstr>Table2</vt:lpstr>
      <vt:lpstr>duplicate</vt:lpstr>
      <vt:lpstr>Master_Customers (2)</vt:lpstr>
      <vt:lpstr>Master_Customers</vt:lpstr>
      <vt:lpstr>Table3</vt:lpstr>
      <vt:lpstr>Pivot_Analysis</vt:lpstr>
      <vt:lpstr>Sheet3</vt:lpstr>
      <vt:lpstr>Executive_Dashboard</vt:lpstr>
      <vt:lpstr>Clean_Data_Warehouse</vt:lpstr>
      <vt:lpstr>Product_Catalog (2)</vt:lpstr>
      <vt:lpstr>Product_Catalog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JITHENDER SAI</dc:creator>
  <cp:lastModifiedBy>JITHENDER SAI</cp:lastModifiedBy>
  <dcterms:created xsi:type="dcterms:W3CDTF">2026-10-20T07:45:39Z</dcterms:created>
  <dcterms:modified xsi:type="dcterms:W3CDTF">2026-10-20T16:52:40Z</dcterms:modified>
</cp:coreProperties>
</file>